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Revenue Forecast" sheetId="2" state="visible" r:id="rId4"/>
    <sheet name="Operating Expenses" sheetId="3" state="visible" r:id="rId5"/>
    <sheet name="P&amp;L" sheetId="4" state="visible" r:id="rId6"/>
    <sheet name="Cash Flow" sheetId="5" state="visible" r:id="rId7"/>
    <sheet name="Funding Requiremen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<sst xmlns="http://schemas.openxmlformats.org/spreadsheetml/2006/main" count="119" uniqueCount="77">
  <si>
    <t xml:space="preserve">BookFast Pty Ltd — Startup Financial Model</t>
  </si>
  <si>
    <t xml:space="preserve">Salon booking software. Twelve month plan from August 2026.</t>
  </si>
  <si>
    <t xml:space="preserve">Synthetic test file for the MamakScore AI engine. Not a real company.</t>
  </si>
  <si>
    <t xml:space="preserve">Key assumptions</t>
  </si>
  <si>
    <t xml:space="preserve">Assumption</t>
  </si>
  <si>
    <t xml:space="preserve">Value</t>
  </si>
  <si>
    <t xml:space="preserve">Basis</t>
  </si>
  <si>
    <t xml:space="preserve">Paying customers at start</t>
  </si>
  <si>
    <t xml:space="preserve">Salons on a paid plan at 1 Aug 2026</t>
  </si>
  <si>
    <t xml:space="preserve">Monthly customer growth rate</t>
  </si>
  <si>
    <t xml:space="preserve">Average of the last three months</t>
  </si>
  <si>
    <t xml:space="preserve">Average revenue per customer</t>
  </si>
  <si>
    <t xml:space="preserve">Single flat subscription tier</t>
  </si>
  <si>
    <t xml:space="preserve">Gross margin</t>
  </si>
  <si>
    <t xml:space="preserve">After hosting and card processing fees</t>
  </si>
  <si>
    <t xml:space="preserve">Operating expenses at start</t>
  </si>
  <si>
    <t xml:space="preserve">Salaries, marketing, rent, tools</t>
  </si>
  <si>
    <t xml:space="preserve">Monthly opex growth rate</t>
  </si>
  <si>
    <t xml:space="preserve">Two hires planned in the period</t>
  </si>
  <si>
    <t xml:space="preserve">Opening cash balance</t>
  </si>
  <si>
    <t xml:space="preserve">Bank balance at 1 Aug 2026</t>
  </si>
  <si>
    <t xml:space="preserve">Customer acquisition cost</t>
  </si>
  <si>
    <t xml:space="preserve">Sales and marketing / new customers</t>
  </si>
  <si>
    <t xml:space="preserve">Average customer lifetime (months)</t>
  </si>
  <si>
    <t xml:space="preserve">Founder estimate, not yet observed</t>
  </si>
  <si>
    <t xml:space="preserve">Blue figures are typed in. Every other sheet is formulas.</t>
  </si>
  <si>
    <t xml:space="preserve">Revenue forecast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</si>
  <si>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</si>
  <si>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</si>
  <si>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</si>
  <si>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</si>
  <si>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</si>
  <si>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</si>
  <si>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</si>
  <si>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</si>
  <si>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</si>
  <si>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</si>
  <si>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</si>
  <si>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</si>
  <si>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Paying customers</t>
  </si>
  <si>
    <t xml:space="preserve">Revenue</t>
  </si>
  <si>
    <t xml:space="preserve">Cost of goods sold</t>
  </si>
  <si>
    <t xml:space="preserve">Gross profit</t>
  </si>
  <si>
    <t xml:space="preserve">Cost of goods sold is hosting, SMS and payment fees.</t>
  </si>
  <si>
    <t xml:space="preserve">Operating expenses</t>
  </si>
  <si>
    <t xml:space="preserve">Salaries and contractors</t>
  </si>
  <si>
    <t xml:space="preserve">Marketing</t>
  </si>
  <si>
    <t xml:space="preserve">Rent, tools and other</t>
  </si>
  <si>
    <t xml:space="preserve">Total operating expenses</t>
  </si>
  <si>
    <t xml:space="preserve">Profit and loss</t>
  </si>
  <si>
    <t xml:space="preserve">EBITDA</t>
  </si>
  <si>
    <t xml:space="preserve">EBITDA margin</t>
  </si>
  <si>
    <t xml:space="preserve">No depreciation or interest in the period, so EBITDA equals operating profit.</t>
  </si>
  <si>
    <t xml:space="preserve">Cash flow</t>
  </si>
  <si>
    <t xml:space="preserve">Opening cash</t>
  </si>
  <si>
    <t xml:space="preserve">Cash from operations</t>
  </si>
  <si>
    <t xml:space="preserve">Net burn</t>
  </si>
  <si>
    <t xml:space="preserve">Closing cash</t>
  </si>
  <si>
    <t xml:space="preserve">Net burn is positive when the company is losing money.</t>
  </si>
  <si>
    <t xml:space="preserve">Funding requirements</t>
  </si>
  <si>
    <t xml:space="preserve">Item</t>
  </si>
  <si>
    <t xml:space="preserve">Note</t>
  </si>
  <si>
    <t xml:space="preserve">Monthly net burn (month 1)</t>
  </si>
  <si>
    <t xml:space="preserve">Operating expenses less gross profit</t>
  </si>
  <si>
    <t xml:space="preserve">Runway at current burn (months)</t>
  </si>
  <si>
    <t xml:space="preserve">Opening cash divided by month one burn</t>
  </si>
  <si>
    <t xml:space="preserve">Cash at month 12</t>
  </si>
  <si>
    <t xml:space="preserve">Closing balance on the cash flow</t>
  </si>
  <si>
    <t xml:space="preserve">Amount sought</t>
  </si>
  <si>
    <t xml:space="preserve">Pre-seed round</t>
  </si>
  <si>
    <t xml:space="preserve">Use of funds — engineering</t>
  </si>
  <si>
    <t xml:space="preserve">Two engineers for eighteen months</t>
  </si>
  <si>
    <t xml:space="preserve">Use of funds — sales and marketing</t>
  </si>
  <si>
    <t xml:space="preserve">Channel partnerships and paid acquisition</t>
  </si>
  <si>
    <t xml:space="preserve">Use of funds — working capital</t>
  </si>
  <si>
    <t xml:space="preserve">Buffer</t>
  </si>
  <si>
    <t xml:space="preserve">Total use of funds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</si>
</sst>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"/>
    <numFmt numFmtId="167" formatCode="\$#,##0;&quot;($&quot;#,##0\);\-"/>
    <numFmt numFmtId="168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EDF3F8"/>
      </patternFill>
    </fill>
    <fill>
      <patternFill patternType="solid">
        <fgColor rgb="FFEDF3F8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F3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4" t="s">
        <v>4</v>
      </c>
      <c r="B6" s="4" t="s">
        <v>5</v>
      </c>
      <c r="C6" s="4" t="s">
        <v>6</v>
      </c>
    </row>
    <row r="7" customFormat="false" ht="15" hidden="false" customHeight="false" outlineLevel="0" collapsed="false">
      <c r="A7" s="5" t="s">
        <v>7</v>
      </c>
      <c r="B7" s="6" t="n">
        <v>500</v>
      </c>
      <c r="C7" s="2" t="s">
        <v>8</v>
      </c>
    </row>
    <row r="8" customFormat="false" ht="15" hidden="false" customHeight="false" outlineLevel="0" collapsed="false">
      <c r="A8" s="5" t="s">
        <v>9</v>
      </c>
      <c r="B8" s="7" t="n">
        <v>0.0800000000000001</v>
      </c>
      <c r="C8" s="2" t="s">
        <v>10</v>
      </c>
    </row>
    <row r="9" customFormat="false" ht="15" hidden="false" customHeight="false" outlineLevel="0" collapsed="false">
      <c r="A9" s="5" t="s">
        <v>11</v>
      </c>
      <c r="B9" s="8" t="n">
        <v>40</v>
      </c>
      <c r="C9" s="2" t="s">
        <v>12</v>
      </c>
    </row>
    <row r="10" customFormat="false" ht="15" hidden="false" customHeight="false" outlineLevel="0" collapsed="false">
      <c r="A10" s="5" t="s">
        <v>13</v>
      </c>
      <c r="B10" s="7" t="n">
        <v>0.7</v>
      </c>
      <c r="C10" s="2" t="s">
        <v>14</v>
      </c>
    </row>
    <row r="11" customFormat="false" ht="15" hidden="false" customHeight="false" outlineLevel="0" collapsed="false">
      <c r="A11" s="5" t="s">
        <v>15</v>
      </c>
      <c r="B11" s="8" t="n">
        <v>25000</v>
      </c>
      <c r="C11" s="2" t="s">
        <v>16</v>
      </c>
    </row>
    <row r="12" customFormat="false" ht="15" hidden="false" customHeight="false" outlineLevel="0" collapsed="false">
      <c r="A12" s="5" t="s">
        <v>17</v>
      </c>
      <c r="B12" s="7" t="n">
        <v>0.03</v>
      </c>
      <c r="C12" s="2" t="s">
        <v>18</v>
      </c>
    </row>
    <row r="13" customFormat="false" ht="15" hidden="false" customHeight="false" outlineLevel="0" collapsed="false">
      <c r="A13" s="5" t="s">
        <v>19</v>
      </c>
      <c r="B13" s="8" t="n">
        <v>180000</v>
      </c>
      <c r="C13" s="2" t="s">
        <v>20</v>
      </c>
    </row>
    <row r="14" customFormat="false" ht="15" hidden="false" customHeight="false" outlineLevel="0" collapsed="false">
      <c r="A14" s="5" t="s">
        <v>21</v>
      </c>
      <c r="B14" s="8" t="n">
        <v>220</v>
      </c>
      <c r="C14" s="2" t="s">
        <v>22</v>
      </c>
    </row>
    <row r="15" customFormat="false" ht="15" hidden="false" customHeight="false" outlineLevel="0" collapsed="false">
      <c r="A15" s="5" t="s">
        <v>23</v>
      </c>
      <c r="B15" s="6" t="n">
        <v>30</v>
      </c>
      <c r="C15" s="2" t="s">
        <v>24</v>
      </c>
    </row>
    <row r="17" customFormat="false" ht="15" hidden="false" customHeight="false" outlineLevel="0" collapsed="false">
      <c r="A17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3" min="2" style="0" width="12"/>
  </cols>
  <sheetData>
    <row r="1" customFormat="false" ht="17.35" hidden="false" customHeight="false" outlineLevel="0" collapsed="false">
      <c r="A1" s="1" t="s">
        <v>26</v>
      </c>
    </row>
    <row r="3" customFormat="false" ht="15" hidden="false" customHeight="false" outlineLevel="0" collapsed="false">
      <c r="A3" s="9"/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33</v>
      </c>
      <c r="I3" s="4" t="s">
        <v>34</v>
      </c>
      <c r="J3" s="4" t="s">
        <v>35</v>
      </c>
      <c r="K3" s="4" t="s">
        <v>36</v>
      </c>
      <c r="L3" s="4" t="s">
        <v>37</v>
      </c>
      <c r="M3" s="4" t="s">
        <v>38</v>
      </c>
    </row>
    <row r="4" customFormat="false" ht="15" hidden="false" customHeight="false" outlineLevel="0" collapsed="false">
      <c r="A4" s="5" t="s">
        <v>39</v>
      </c>
      <c r="B4" s="6" t="n">
        <v>500</v>
      </c>
      <c r="C4" s="6" t="n">
        <v>540</v>
      </c>
      <c r="D4" s="6" t="n">
        <v>583</v>
      </c>
      <c r="E4" s="6" t="n">
        <v>630</v>
      </c>
      <c r="F4" s="6" t="n">
        <v>680</v>
      </c>
      <c r="G4" s="6" t="n">
        <v>734</v>
      </c>
      <c r="H4" s="6" t="n">
        <v>793</v>
      </c>
      <c r="I4" s="6" t="n">
        <v>856</v>
      </c>
      <c r="J4" s="6" t="n">
        <v>924</v>
      </c>
      <c r="K4" s="6" t="n">
        <v>998</v>
      </c>
      <c r="L4" s="6" t="n">
        <v>1078</v>
      </c>
      <c r="M4" s="6" t="n">
        <v>1164</v>
      </c>
    </row>
    <row r="5" customFormat="false" ht="15" hidden="false" customHeight="false" outlineLevel="0" collapsed="false">
      <c r="A5" s="5" t="s">
        <v>11</v>
      </c>
      <c r="B5" s="10" t="n">
        <f aca="false">Assumptions!$B$9</f>
        <v>40</v>
      </c>
      <c r="C5" s="10" t="n">
        <f aca="false">Assumptions!$B$9</f>
        <v>40</v>
      </c>
      <c r="D5" s="10" t="n">
        <f aca="false">Assumptions!$B$9</f>
        <v>40</v>
      </c>
      <c r="E5" s="10" t="n">
        <f aca="false">Assumptions!$B$9</f>
        <v>40</v>
      </c>
      <c r="F5" s="10" t="n">
        <f aca="false">Assumptions!$B$9</f>
        <v>40</v>
      </c>
      <c r="G5" s="10" t="n">
        <f aca="false">Assumptions!$B$9</f>
        <v>40</v>
      </c>
      <c r="H5" s="10" t="n">
        <f aca="false">Assumptions!$B$9</f>
        <v>40</v>
      </c>
      <c r="I5" s="10" t="n">
        <f aca="false">Assumptions!$B$9</f>
        <v>40</v>
      </c>
      <c r="J5" s="10" t="n">
        <f aca="false">Assumptions!$B$9</f>
        <v>40</v>
      </c>
      <c r="K5" s="10" t="n">
        <f aca="false">Assumptions!$B$9</f>
        <v>40</v>
      </c>
      <c r="L5" s="10" t="n">
        <f aca="false">Assumptions!$B$9</f>
        <v>40</v>
      </c>
      <c r="M5" s="10" t="n">
        <f aca="false">Assumptions!$B$9</f>
        <v>40</v>
      </c>
    </row>
    <row r="6" customFormat="false" ht="15" hidden="false" customHeight="false" outlineLevel="0" collapsed="false">
      <c r="A6" s="11" t="s">
        <v>40</v>
      </c>
      <c r="B6" s="12" t="n">
        <f aca="false">B4*B5</f>
        <v>20000</v>
      </c>
      <c r="C6" s="12" t="n">
        <f aca="false">C4*C5</f>
        <v>21600</v>
      </c>
      <c r="D6" s="12" t="n">
        <f aca="false">D4*D5</f>
        <v>23320</v>
      </c>
      <c r="E6" s="12" t="n">
        <f aca="false">E4*E5</f>
        <v>25200</v>
      </c>
      <c r="F6" s="12" t="n">
        <f aca="false">F4*F5</f>
        <v>27200</v>
      </c>
      <c r="G6" s="12" t="n">
        <f aca="false">G4*G5</f>
        <v>29360</v>
      </c>
      <c r="H6" s="12" t="n">
        <f aca="false">H4*H5</f>
        <v>31720</v>
      </c>
      <c r="I6" s="12" t="n">
        <f aca="false">I4*I5</f>
        <v>34240</v>
      </c>
      <c r="J6" s="12" t="n">
        <f aca="false">J4*J5</f>
        <v>36960</v>
      </c>
      <c r="K6" s="12" t="n">
        <f aca="false">K4*K5</f>
        <v>39920</v>
      </c>
      <c r="L6" s="12" t="n">
        <f aca="false">L4*L5</f>
        <v>43120</v>
      </c>
      <c r="M6" s="12" t="n">
        <f aca="false">M4*M5</f>
        <v>46560</v>
      </c>
    </row>
    <row r="7" customFormat="false" ht="15" hidden="false" customHeight="false" outlineLevel="0" collapsed="false">
      <c r="A7" s="5" t="s">
        <v>41</v>
      </c>
      <c r="B7" s="10" t="n">
        <f aca="false">B6*(1-Assumptions!$B$10)</f>
        <v>6000</v>
      </c>
      <c r="C7" s="10" t="n">
        <f aca="false">C6*(1-Assumptions!$B$10)</f>
        <v>6480</v>
      </c>
      <c r="D7" s="10" t="n">
        <f aca="false">D6*(1-Assumptions!$B$10)</f>
        <v>6996</v>
      </c>
      <c r="E7" s="10" t="n">
        <f aca="false">E6*(1-Assumptions!$B$10)</f>
        <v>7560</v>
      </c>
      <c r="F7" s="10" t="n">
        <f aca="false">F6*(1-Assumptions!$B$10)</f>
        <v>8160</v>
      </c>
      <c r="G7" s="10" t="n">
        <f aca="false">G6*(1-Assumptions!$B$10)</f>
        <v>8808</v>
      </c>
      <c r="H7" s="10" t="n">
        <f aca="false">H6*(1-Assumptions!$B$10)</f>
        <v>9516</v>
      </c>
      <c r="I7" s="10" t="n">
        <f aca="false">I6*(1-Assumptions!$B$10)</f>
        <v>10272</v>
      </c>
      <c r="J7" s="10" t="n">
        <f aca="false">J6*(1-Assumptions!$B$10)</f>
        <v>11088</v>
      </c>
      <c r="K7" s="10" t="n">
        <f aca="false">K6*(1-Assumptions!$B$10)</f>
        <v>11976</v>
      </c>
      <c r="L7" s="10" t="n">
        <f aca="false">L6*(1-Assumptions!$B$10)</f>
        <v>12936</v>
      </c>
      <c r="M7" s="10" t="n">
        <f aca="false">M6*(1-Assumptions!$B$10)</f>
        <v>13968</v>
      </c>
    </row>
    <row r="8" customFormat="false" ht="15" hidden="false" customHeight="false" outlineLevel="0" collapsed="false">
      <c r="A8" s="11" t="s">
        <v>42</v>
      </c>
      <c r="B8" s="12" t="n">
        <f aca="false">B6-B7</f>
        <v>14000</v>
      </c>
      <c r="C8" s="12" t="n">
        <f aca="false">C6-C7</f>
        <v>15120</v>
      </c>
      <c r="D8" s="12" t="n">
        <f aca="false">D6-D7</f>
        <v>16324</v>
      </c>
      <c r="E8" s="12" t="n">
        <f aca="false">E6-E7</f>
        <v>17640</v>
      </c>
      <c r="F8" s="12" t="n">
        <f aca="false">F6-F7</f>
        <v>19040</v>
      </c>
      <c r="G8" s="12" t="n">
        <f aca="false">G6-G7</f>
        <v>20552</v>
      </c>
      <c r="H8" s="12" t="n">
        <f aca="false">H6-H7</f>
        <v>22204</v>
      </c>
      <c r="I8" s="12" t="n">
        <f aca="false">I6-I7</f>
        <v>23968</v>
      </c>
      <c r="J8" s="12" t="n">
        <f aca="false">J6-J7</f>
        <v>25872</v>
      </c>
      <c r="K8" s="12" t="n">
        <f aca="false">K6-K7</f>
        <v>27944</v>
      </c>
      <c r="L8" s="12" t="n">
        <f aca="false">L6-L7</f>
        <v>30184</v>
      </c>
      <c r="M8" s="12" t="n">
        <f aca="false">M6-M7</f>
        <v>32592</v>
      </c>
    </row>
    <row r="10" customFormat="false" ht="15" hidden="false" customHeight="false" outlineLevel="0" collapsed="false">
      <c r="A10" s="2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3" min="2" style="0" width="12"/>
  </cols>
  <sheetData>
    <row r="1" customFormat="false" ht="17.35" hidden="false" customHeight="false" outlineLevel="0" collapsed="false">
      <c r="A1" s="1" t="s">
        <v>44</v>
      </c>
    </row>
    <row r="3" customFormat="false" ht="15" hidden="false" customHeight="false" outlineLevel="0" collapsed="false">
      <c r="A3" s="9"/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33</v>
      </c>
      <c r="I3" s="4" t="s">
        <v>34</v>
      </c>
      <c r="J3" s="4" t="s">
        <v>35</v>
      </c>
      <c r="K3" s="4" t="s">
        <v>36</v>
      </c>
      <c r="L3" s="4" t="s">
        <v>37</v>
      </c>
      <c r="M3" s="4" t="s">
        <v>38</v>
      </c>
    </row>
    <row r="4" customFormat="false" ht="15" hidden="false" customHeight="false" outlineLevel="0" collapsed="false">
      <c r="A4" s="5" t="s">
        <v>45</v>
      </c>
      <c r="B4" s="8" t="n">
        <v>15500</v>
      </c>
      <c r="C4" s="8" t="n">
        <v>15965</v>
      </c>
      <c r="D4" s="8" t="n">
        <v>16444</v>
      </c>
      <c r="E4" s="8" t="n">
        <v>16937</v>
      </c>
      <c r="F4" s="8" t="n">
        <v>17446</v>
      </c>
      <c r="G4" s="8" t="n">
        <v>17969</v>
      </c>
      <c r="H4" s="8" t="n">
        <v>18508</v>
      </c>
      <c r="I4" s="8" t="n">
        <v>19063</v>
      </c>
      <c r="J4" s="8" t="n">
        <v>19635</v>
      </c>
      <c r="K4" s="8" t="n">
        <v>20224</v>
      </c>
      <c r="L4" s="8" t="n">
        <v>20831</v>
      </c>
      <c r="M4" s="8" t="n">
        <v>21456</v>
      </c>
    </row>
    <row r="5" customFormat="false" ht="15" hidden="false" customHeight="false" outlineLevel="0" collapsed="false">
      <c r="A5" s="5" t="s">
        <v>46</v>
      </c>
      <c r="B5" s="8" t="n">
        <v>5500</v>
      </c>
      <c r="C5" s="8" t="n">
        <v>5665</v>
      </c>
      <c r="D5" s="8" t="n">
        <v>5835</v>
      </c>
      <c r="E5" s="8" t="n">
        <v>6010</v>
      </c>
      <c r="F5" s="8" t="n">
        <v>6190</v>
      </c>
      <c r="G5" s="8" t="n">
        <v>6376</v>
      </c>
      <c r="H5" s="8" t="n">
        <v>6567</v>
      </c>
      <c r="I5" s="8" t="n">
        <v>6764</v>
      </c>
      <c r="J5" s="8" t="n">
        <v>6967</v>
      </c>
      <c r="K5" s="8" t="n">
        <v>7176</v>
      </c>
      <c r="L5" s="8" t="n">
        <v>7392</v>
      </c>
      <c r="M5" s="8" t="n">
        <v>7613</v>
      </c>
    </row>
    <row r="6" customFormat="false" ht="15" hidden="false" customHeight="false" outlineLevel="0" collapsed="false">
      <c r="A6" s="5" t="s">
        <v>47</v>
      </c>
      <c r="B6" s="8" t="n">
        <v>4000</v>
      </c>
      <c r="C6" s="8" t="n">
        <v>4120</v>
      </c>
      <c r="D6" s="8" t="n">
        <v>4243</v>
      </c>
      <c r="E6" s="8" t="n">
        <v>4371</v>
      </c>
      <c r="F6" s="8" t="n">
        <v>4502</v>
      </c>
      <c r="G6" s="8" t="n">
        <v>4637</v>
      </c>
      <c r="H6" s="8" t="n">
        <v>4776</v>
      </c>
      <c r="I6" s="8" t="n">
        <v>4920</v>
      </c>
      <c r="J6" s="8" t="n">
        <v>5067</v>
      </c>
      <c r="K6" s="8" t="n">
        <v>5219</v>
      </c>
      <c r="L6" s="8" t="n">
        <v>5375</v>
      </c>
      <c r="M6" s="8" t="n">
        <v>5537</v>
      </c>
    </row>
    <row r="7" customFormat="false" ht="15" hidden="false" customHeight="false" outlineLevel="0" collapsed="false">
      <c r="A7" s="11" t="s">
        <v>48</v>
      </c>
      <c r="B7" s="12" t="n">
        <f aca="false">SUM(B4:B6)</f>
        <v>25000</v>
      </c>
      <c r="C7" s="12" t="n">
        <f aca="false">SUM(C4:C6)</f>
        <v>25750</v>
      </c>
      <c r="D7" s="12" t="n">
        <f aca="false">SUM(D4:D6)</f>
        <v>26522</v>
      </c>
      <c r="E7" s="12" t="n">
        <f aca="false">SUM(E4:E6)</f>
        <v>27318</v>
      </c>
      <c r="F7" s="12" t="n">
        <f aca="false">SUM(F4:F6)</f>
        <v>28138</v>
      </c>
      <c r="G7" s="12" t="n">
        <f aca="false">SUM(G4:G6)</f>
        <v>28982</v>
      </c>
      <c r="H7" s="12" t="n">
        <f aca="false">SUM(H4:H6)</f>
        <v>29851</v>
      </c>
      <c r="I7" s="12" t="n">
        <f aca="false">SUM(I4:I6)</f>
        <v>30747</v>
      </c>
      <c r="J7" s="12" t="n">
        <f aca="false">SUM(J4:J6)</f>
        <v>31669</v>
      </c>
      <c r="K7" s="12" t="n">
        <f aca="false">SUM(K4:K6)</f>
        <v>32619</v>
      </c>
      <c r="L7" s="12" t="n">
        <f aca="false">SUM(L4:L6)</f>
        <v>33598</v>
      </c>
      <c r="M7" s="12" t="n">
        <f aca="false">SUM(M4:M6)</f>
        <v>34606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3" min="2" style="0" width="12"/>
  </cols>
  <sheetData>
    <row r="1" customFormat="false" ht="17.35" hidden="false" customHeight="false" outlineLevel="0" collapsed="false">
      <c r="A1" s="1" t="s">
        <v>49</v>
      </c>
    </row>
    <row r="3" customFormat="false" ht="15" hidden="false" customHeight="false" outlineLevel="0" collapsed="false">
      <c r="A3" s="9"/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33</v>
      </c>
      <c r="I3" s="4" t="s">
        <v>34</v>
      </c>
      <c r="J3" s="4" t="s">
        <v>35</v>
      </c>
      <c r="K3" s="4" t="s">
        <v>36</v>
      </c>
      <c r="L3" s="4" t="s">
        <v>37</v>
      </c>
      <c r="M3" s="4" t="s">
        <v>38</v>
      </c>
    </row>
    <row r="4" customFormat="false" ht="15" hidden="false" customHeight="false" outlineLevel="0" collapsed="false">
      <c r="A4" s="5" t="s">
        <v>40</v>
      </c>
      <c r="B4" s="10" t="n">
        <f aca="false">'Revenue Forecast'!B6</f>
        <v>20000</v>
      </c>
      <c r="C4" s="10" t="n">
        <f aca="false">'Revenue Forecast'!C6</f>
        <v>21600</v>
      </c>
      <c r="D4" s="10" t="n">
        <f aca="false">'Revenue Forecast'!D6</f>
        <v>23320</v>
      </c>
      <c r="E4" s="10" t="n">
        <f aca="false">'Revenue Forecast'!E6</f>
        <v>25200</v>
      </c>
      <c r="F4" s="10" t="n">
        <f aca="false">'Revenue Forecast'!F6</f>
        <v>27200</v>
      </c>
      <c r="G4" s="10" t="n">
        <f aca="false">'Revenue Forecast'!G6</f>
        <v>29360</v>
      </c>
      <c r="H4" s="10" t="n">
        <f aca="false">'Revenue Forecast'!H6</f>
        <v>31720</v>
      </c>
      <c r="I4" s="10" t="n">
        <f aca="false">'Revenue Forecast'!I6</f>
        <v>34240</v>
      </c>
      <c r="J4" s="10" t="n">
        <f aca="false">'Revenue Forecast'!J6</f>
        <v>36960</v>
      </c>
      <c r="K4" s="10" t="n">
        <f aca="false">'Revenue Forecast'!K6</f>
        <v>39920</v>
      </c>
      <c r="L4" s="10" t="n">
        <f aca="false">'Revenue Forecast'!L6</f>
        <v>43120</v>
      </c>
      <c r="M4" s="10" t="n">
        <f aca="false">'Revenue Forecast'!M6</f>
        <v>46560</v>
      </c>
    </row>
    <row r="5" customFormat="false" ht="15" hidden="false" customHeight="false" outlineLevel="0" collapsed="false">
      <c r="A5" s="5" t="s">
        <v>41</v>
      </c>
      <c r="B5" s="10" t="n">
        <f aca="false">'Revenue Forecast'!B7</f>
        <v>6000</v>
      </c>
      <c r="C5" s="10" t="n">
        <f aca="false">'Revenue Forecast'!C7</f>
        <v>6480</v>
      </c>
      <c r="D5" s="10" t="n">
        <f aca="false">'Revenue Forecast'!D7</f>
        <v>6996</v>
      </c>
      <c r="E5" s="10" t="n">
        <f aca="false">'Revenue Forecast'!E7</f>
        <v>7560</v>
      </c>
      <c r="F5" s="10" t="n">
        <f aca="false">'Revenue Forecast'!F7</f>
        <v>8160</v>
      </c>
      <c r="G5" s="10" t="n">
        <f aca="false">'Revenue Forecast'!G7</f>
        <v>8808</v>
      </c>
      <c r="H5" s="10" t="n">
        <f aca="false">'Revenue Forecast'!H7</f>
        <v>9516</v>
      </c>
      <c r="I5" s="10" t="n">
        <f aca="false">'Revenue Forecast'!I7</f>
        <v>10272</v>
      </c>
      <c r="J5" s="10" t="n">
        <f aca="false">'Revenue Forecast'!J7</f>
        <v>11088</v>
      </c>
      <c r="K5" s="10" t="n">
        <f aca="false">'Revenue Forecast'!K7</f>
        <v>11976</v>
      </c>
      <c r="L5" s="10" t="n">
        <f aca="false">'Revenue Forecast'!L7</f>
        <v>12936</v>
      </c>
      <c r="M5" s="10" t="n">
        <f aca="false">'Revenue Forecast'!M7</f>
        <v>13968</v>
      </c>
    </row>
    <row r="6" customFormat="false" ht="15" hidden="false" customHeight="false" outlineLevel="0" collapsed="false">
      <c r="A6" s="9" t="s">
        <v>42</v>
      </c>
      <c r="B6" s="10" t="n">
        <f aca="false">B4-B5</f>
        <v>14000</v>
      </c>
      <c r="C6" s="10" t="n">
        <f aca="false">C4-C5</f>
        <v>15120</v>
      </c>
      <c r="D6" s="10" t="n">
        <f aca="false">D4-D5</f>
        <v>16324</v>
      </c>
      <c r="E6" s="10" t="n">
        <f aca="false">E4-E5</f>
        <v>17640</v>
      </c>
      <c r="F6" s="10" t="n">
        <f aca="false">F4-F5</f>
        <v>19040</v>
      </c>
      <c r="G6" s="10" t="n">
        <f aca="false">G4-G5</f>
        <v>20552</v>
      </c>
      <c r="H6" s="10" t="n">
        <f aca="false">H4-H5</f>
        <v>22204</v>
      </c>
      <c r="I6" s="10" t="n">
        <f aca="false">I4-I5</f>
        <v>23968</v>
      </c>
      <c r="J6" s="10" t="n">
        <f aca="false">J4-J5</f>
        <v>25872</v>
      </c>
      <c r="K6" s="10" t="n">
        <f aca="false">K4-K5</f>
        <v>27944</v>
      </c>
      <c r="L6" s="10" t="n">
        <f aca="false">L4-L5</f>
        <v>30184</v>
      </c>
      <c r="M6" s="10" t="n">
        <f aca="false">M4-M5</f>
        <v>32592</v>
      </c>
    </row>
    <row r="7" customFormat="false" ht="15" hidden="false" customHeight="false" outlineLevel="0" collapsed="false">
      <c r="A7" s="5" t="s">
        <v>44</v>
      </c>
      <c r="B7" s="10" t="n">
        <f aca="false">'Operating Expenses'!B7</f>
        <v>25000</v>
      </c>
      <c r="C7" s="10" t="n">
        <f aca="false">'Operating Expenses'!C7</f>
        <v>25750</v>
      </c>
      <c r="D7" s="10" t="n">
        <f aca="false">'Operating Expenses'!D7</f>
        <v>26522</v>
      </c>
      <c r="E7" s="10" t="n">
        <f aca="false">'Operating Expenses'!E7</f>
        <v>27318</v>
      </c>
      <c r="F7" s="10" t="n">
        <f aca="false">'Operating Expenses'!F7</f>
        <v>28138</v>
      </c>
      <c r="G7" s="10" t="n">
        <f aca="false">'Operating Expenses'!G7</f>
        <v>28982</v>
      </c>
      <c r="H7" s="10" t="n">
        <f aca="false">'Operating Expenses'!H7</f>
        <v>29851</v>
      </c>
      <c r="I7" s="10" t="n">
        <f aca="false">'Operating Expenses'!I7</f>
        <v>30747</v>
      </c>
      <c r="J7" s="10" t="n">
        <f aca="false">'Operating Expenses'!J7</f>
        <v>31669</v>
      </c>
      <c r="K7" s="10" t="n">
        <f aca="false">'Operating Expenses'!K7</f>
        <v>32619</v>
      </c>
      <c r="L7" s="10" t="n">
        <f aca="false">'Operating Expenses'!L7</f>
        <v>33598</v>
      </c>
      <c r="M7" s="10" t="n">
        <f aca="false">'Operating Expenses'!M7</f>
        <v>34606</v>
      </c>
    </row>
    <row r="8" customFormat="false" ht="15" hidden="false" customHeight="false" outlineLevel="0" collapsed="false">
      <c r="A8" s="11" t="s">
        <v>50</v>
      </c>
      <c r="B8" s="12" t="n">
        <f aca="false">B6-B7</f>
        <v>-11000</v>
      </c>
      <c r="C8" s="12" t="n">
        <f aca="false">C6-C7</f>
        <v>-10630</v>
      </c>
      <c r="D8" s="12" t="n">
        <f aca="false">D6-D7</f>
        <v>-10198</v>
      </c>
      <c r="E8" s="12" t="n">
        <f aca="false">E6-E7</f>
        <v>-9678</v>
      </c>
      <c r="F8" s="12" t="n">
        <f aca="false">F6-F7</f>
        <v>-9098</v>
      </c>
      <c r="G8" s="12" t="n">
        <f aca="false">G6-G7</f>
        <v>-8430</v>
      </c>
      <c r="H8" s="12" t="n">
        <f aca="false">H6-H7</f>
        <v>-7647</v>
      </c>
      <c r="I8" s="12" t="n">
        <f aca="false">I6-I7</f>
        <v>-6779</v>
      </c>
      <c r="J8" s="12" t="n">
        <f aca="false">J6-J7</f>
        <v>-5797</v>
      </c>
      <c r="K8" s="12" t="n">
        <f aca="false">K6-K7</f>
        <v>-4675</v>
      </c>
      <c r="L8" s="12" t="n">
        <f aca="false">L6-L7</f>
        <v>-3414</v>
      </c>
      <c r="M8" s="12" t="n">
        <f aca="false">M6-M7</f>
        <v>-2014</v>
      </c>
    </row>
    <row r="9" customFormat="false" ht="15" hidden="false" customHeight="false" outlineLevel="0" collapsed="false">
      <c r="A9" s="5" t="s">
        <v>51</v>
      </c>
      <c r="B9" s="13" t="n">
        <f aca="false">IFERROR(B8/B4,0)</f>
        <v>-0.55</v>
      </c>
      <c r="C9" s="13" t="n">
        <f aca="false">IFERROR(C8/C4,0)</f>
        <v>-0.49212962962963</v>
      </c>
      <c r="D9" s="13" t="n">
        <f aca="false">IFERROR(D8/D4,0)</f>
        <v>-0.437307032590051</v>
      </c>
      <c r="E9" s="13" t="n">
        <f aca="false">IFERROR(E8/E4,0)</f>
        <v>-0.384047619047619</v>
      </c>
      <c r="F9" s="13" t="n">
        <f aca="false">IFERROR(F8/F4,0)</f>
        <v>-0.334485294117647</v>
      </c>
      <c r="G9" s="13" t="n">
        <f aca="false">IFERROR(G8/G4,0)</f>
        <v>-0.287125340599455</v>
      </c>
      <c r="H9" s="13" t="n">
        <f aca="false">IFERROR(H8/H4,0)</f>
        <v>-0.241078184110971</v>
      </c>
      <c r="I9" s="13" t="n">
        <f aca="false">IFERROR(I8/I4,0)</f>
        <v>-0.197984813084112</v>
      </c>
      <c r="J9" s="13" t="n">
        <f aca="false">IFERROR(J8/J4,0)</f>
        <v>-0.156845238095238</v>
      </c>
      <c r="K9" s="13" t="n">
        <f aca="false">IFERROR(K8/K4,0)</f>
        <v>-0.117109218436874</v>
      </c>
      <c r="L9" s="13" t="n">
        <f aca="false">IFERROR(L8/L4,0)</f>
        <v>-0.0791743970315399</v>
      </c>
      <c r="M9" s="13" t="n">
        <f aca="false">IFERROR(M8/M4,0)</f>
        <v>-0.0432560137457045</v>
      </c>
    </row>
    <row r="11" customFormat="false" ht="15" hidden="false" customHeight="false" outlineLevel="0" collapsed="false">
      <c r="A11" s="2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3" min="2" style="0" width="12"/>
  </cols>
  <sheetData>
    <row r="1" customFormat="false" ht="17.35" hidden="false" customHeight="false" outlineLevel="0" collapsed="false">
      <c r="A1" s="1" t="s">
        <v>53</v>
      </c>
    </row>
    <row r="3" customFormat="false" ht="15" hidden="false" customHeight="false" outlineLevel="0" collapsed="false">
      <c r="A3" s="9"/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33</v>
      </c>
      <c r="I3" s="4" t="s">
        <v>34</v>
      </c>
      <c r="J3" s="4" t="s">
        <v>35</v>
      </c>
      <c r="K3" s="4" t="s">
        <v>36</v>
      </c>
      <c r="L3" s="4" t="s">
        <v>37</v>
      </c>
      <c r="M3" s="4" t="s">
        <v>38</v>
      </c>
    </row>
    <row r="4" customFormat="false" ht="15" hidden="false" customHeight="false" outlineLevel="0" collapsed="false">
      <c r="A4" s="5" t="s">
        <v>54</v>
      </c>
      <c r="B4" s="10" t="n">
        <f aca="false">Assumptions!$B$13</f>
        <v>180000</v>
      </c>
      <c r="C4" s="10" t="n">
        <f aca="false">B7</f>
        <v>169000</v>
      </c>
      <c r="D4" s="10" t="n">
        <f aca="false">C7</f>
        <v>158370</v>
      </c>
      <c r="E4" s="10" t="n">
        <f aca="false">D7</f>
        <v>148172</v>
      </c>
      <c r="F4" s="10" t="n">
        <f aca="false">E7</f>
        <v>138494</v>
      </c>
      <c r="G4" s="10" t="n">
        <f aca="false">F7</f>
        <v>129396</v>
      </c>
      <c r="H4" s="10" t="n">
        <f aca="false">G7</f>
        <v>120966</v>
      </c>
      <c r="I4" s="10" t="n">
        <f aca="false">H7</f>
        <v>113319</v>
      </c>
      <c r="J4" s="10" t="n">
        <f aca="false">I7</f>
        <v>106540</v>
      </c>
      <c r="K4" s="10" t="n">
        <f aca="false">J7</f>
        <v>100743</v>
      </c>
      <c r="L4" s="10" t="n">
        <f aca="false">K7</f>
        <v>96068</v>
      </c>
      <c r="M4" s="10" t="n">
        <f aca="false">L7</f>
        <v>92654</v>
      </c>
    </row>
    <row r="5" customFormat="false" ht="15" hidden="false" customHeight="false" outlineLevel="0" collapsed="false">
      <c r="A5" s="5" t="s">
        <v>55</v>
      </c>
      <c r="B5" s="10" t="n">
        <f aca="false">'P&amp;L'!B8</f>
        <v>-11000</v>
      </c>
      <c r="C5" s="10" t="n">
        <f aca="false">'P&amp;L'!C8</f>
        <v>-10630</v>
      </c>
      <c r="D5" s="10" t="n">
        <f aca="false">'P&amp;L'!D8</f>
        <v>-10198</v>
      </c>
      <c r="E5" s="10" t="n">
        <f aca="false">'P&amp;L'!E8</f>
        <v>-9678</v>
      </c>
      <c r="F5" s="10" t="n">
        <f aca="false">'P&amp;L'!F8</f>
        <v>-9098</v>
      </c>
      <c r="G5" s="10" t="n">
        <f aca="false">'P&amp;L'!G8</f>
        <v>-8430</v>
      </c>
      <c r="H5" s="10" t="n">
        <f aca="false">'P&amp;L'!H8</f>
        <v>-7647</v>
      </c>
      <c r="I5" s="10" t="n">
        <f aca="false">'P&amp;L'!I8</f>
        <v>-6779</v>
      </c>
      <c r="J5" s="10" t="n">
        <f aca="false">'P&amp;L'!J8</f>
        <v>-5797</v>
      </c>
      <c r="K5" s="10" t="n">
        <f aca="false">'P&amp;L'!K8</f>
        <v>-4675</v>
      </c>
      <c r="L5" s="10" t="n">
        <f aca="false">'P&amp;L'!L8</f>
        <v>-3414</v>
      </c>
      <c r="M5" s="10" t="n">
        <f aca="false">'P&amp;L'!M8</f>
        <v>-2014</v>
      </c>
    </row>
    <row r="6" customFormat="false" ht="15" hidden="false" customHeight="false" outlineLevel="0" collapsed="false">
      <c r="A6" s="9" t="s">
        <v>56</v>
      </c>
      <c r="B6" s="10" t="n">
        <f aca="false">-B5</f>
        <v>11000</v>
      </c>
      <c r="C6" s="10" t="n">
        <f aca="false">-C5</f>
        <v>10630</v>
      </c>
      <c r="D6" s="10" t="n">
        <f aca="false">-D5</f>
        <v>10198</v>
      </c>
      <c r="E6" s="10" t="n">
        <f aca="false">-E5</f>
        <v>9678</v>
      </c>
      <c r="F6" s="10" t="n">
        <f aca="false">-F5</f>
        <v>9098</v>
      </c>
      <c r="G6" s="10" t="n">
        <f aca="false">-G5</f>
        <v>8430</v>
      </c>
      <c r="H6" s="10" t="n">
        <f aca="false">-H5</f>
        <v>7647</v>
      </c>
      <c r="I6" s="10" t="n">
        <f aca="false">-I5</f>
        <v>6779</v>
      </c>
      <c r="J6" s="10" t="n">
        <f aca="false">-J5</f>
        <v>5797</v>
      </c>
      <c r="K6" s="10" t="n">
        <f aca="false">-K5</f>
        <v>4675</v>
      </c>
      <c r="L6" s="10" t="n">
        <f aca="false">-L5</f>
        <v>3414</v>
      </c>
      <c r="M6" s="10" t="n">
        <f aca="false">-M5</f>
        <v>2014</v>
      </c>
    </row>
    <row r="7" customFormat="false" ht="15" hidden="false" customHeight="false" outlineLevel="0" collapsed="false">
      <c r="A7" s="11" t="s">
        <v>57</v>
      </c>
      <c r="B7" s="12" t="n">
        <f aca="false">B4+B5</f>
        <v>169000</v>
      </c>
      <c r="C7" s="12" t="n">
        <f aca="false">C4+C5</f>
        <v>158370</v>
      </c>
      <c r="D7" s="12" t="n">
        <f aca="false">D4+D5</f>
        <v>148172</v>
      </c>
      <c r="E7" s="12" t="n">
        <f aca="false">E4+E5</f>
        <v>138494</v>
      </c>
      <c r="F7" s="12" t="n">
        <f aca="false">F4+F5</f>
        <v>129396</v>
      </c>
      <c r="G7" s="12" t="n">
        <f aca="false">G4+G5</f>
        <v>120966</v>
      </c>
      <c r="H7" s="12" t="n">
        <f aca="false">H4+H5</f>
        <v>113319</v>
      </c>
      <c r="I7" s="12" t="n">
        <f aca="false">I4+I5</f>
        <v>106540</v>
      </c>
      <c r="J7" s="12" t="n">
        <f aca="false">J4+J5</f>
        <v>100743</v>
      </c>
      <c r="K7" s="12" t="n">
        <f aca="false">K4+K5</f>
        <v>96068</v>
      </c>
      <c r="L7" s="12" t="n">
        <f aca="false">L4+L5</f>
        <v>92654</v>
      </c>
      <c r="M7" s="12" t="n">
        <f aca="false">M4+M5</f>
        <v>90640</v>
      </c>
    </row>
    <row r="9" customFormat="false" ht="15" hidden="false" customHeight="false" outlineLevel="0" collapsed="false">
      <c r="A9" s="2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" t="s">
        <v>59</v>
      </c>
    </row>
    <row r="3" customFormat="false" ht="15" hidden="false" customHeight="false" outlineLevel="0" collapsed="false">
      <c r="A3" s="4" t="s">
        <v>60</v>
      </c>
      <c r="B3" s="4" t="s">
        <v>5</v>
      </c>
      <c r="C3" s="4" t="s">
        <v>61</v>
      </c>
    </row>
    <row r="4" customFormat="false" ht="15" hidden="false" customHeight="false" outlineLevel="0" collapsed="false">
      <c r="A4" s="5" t="s">
        <v>62</v>
      </c>
      <c r="B4" s="10" t="n">
        <f aca="false">'Cash Flow'!B6</f>
        <v>11000</v>
      </c>
      <c r="C4" s="2" t="s">
        <v>63</v>
      </c>
    </row>
    <row r="5" customFormat="false" ht="15" hidden="false" customHeight="false" outlineLevel="0" collapsed="false">
      <c r="A5" s="5" t="s">
        <v>64</v>
      </c>
      <c r="B5" s="14" t="n">
        <f aca="false">IFERROR(Assumptions!B13/'Cash Flow'!B6,"n/a")</f>
        <v>16.3636363636364</v>
      </c>
      <c r="C5" s="2" t="s">
        <v>65</v>
      </c>
    </row>
    <row r="6" customFormat="false" ht="15" hidden="false" customHeight="false" outlineLevel="0" collapsed="false">
      <c r="A6" s="5" t="s">
        <v>66</v>
      </c>
      <c r="B6" s="10" t="n">
        <f aca="false">'Cash Flow'!M7</f>
        <v>90640</v>
      </c>
      <c r="C6" s="2" t="s">
        <v>67</v>
      </c>
    </row>
    <row r="7" customFormat="false" ht="15" hidden="false" customHeight="false" outlineLevel="0" collapsed="false">
      <c r="A7" s="5" t="s">
        <v>68</v>
      </c>
      <c r="B7" s="8" t="n">
        <v>500000</v>
      </c>
      <c r="C7" s="2" t="s">
        <v>69</v>
      </c>
    </row>
    <row r="8" customFormat="false" ht="15" hidden="false" customHeight="false" outlineLevel="0" collapsed="false">
      <c r="A8" s="5" t="s">
        <v>70</v>
      </c>
      <c r="B8" s="8" t="n">
        <v>250000</v>
      </c>
      <c r="C8" s="2" t="s">
        <v>71</v>
      </c>
    </row>
    <row r="9" customFormat="false" ht="15" hidden="false" customHeight="false" outlineLevel="0" collapsed="false">
      <c r="A9" s="5" t="s">
        <v>72</v>
      </c>
      <c r="B9" s="8" t="n">
        <v>175000</v>
      </c>
      <c r="C9" s="2" t="s">
        <v>73</v>
      </c>
    </row>
    <row r="10" customFormat="false" ht="15" hidden="false" customHeight="false" outlineLevel="0" collapsed="false">
      <c r="A10" s="5" t="s">
        <v>74</v>
      </c>
      <c r="B10" s="8" t="n">
        <v>75000</v>
      </c>
      <c r="C10" s="2" t="s">
        <v>75</v>
      </c>
    </row>
    <row r="11" customFormat="false" ht="15" hidden="false" customHeight="false" outlineLevel="0" collapsed="false">
      <c r="A11" s="9" t="s">
        <v>76</v>
      </c>
      <c r="B11" s="15" t="n">
        <f aca="false">SUM(B8:B10)</f>
        <v>500000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2026-08-25T02:23:18Z</dcterms:created>
  <dc:creator>openpyxl</dc:creator>
  <dc:description/>
  <dc:language>en-US</dc:language>
  <cp:lastModifiedBy/>
  <dcterms:modified xsi:type="dcterms:W3CDTF">2026-08-25T02:23:18Z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