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Assumptions" sheetId="1" state="visible" r:id="rId3"/>
    <sheet name="Unit Economics" sheetId="2" state="visible" r:id="rId4"/>
    <sheet name="Three Statement" sheetId="3" state="visible" r:id="rId5"/>
    <sheet name="Scenario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<sst xmlns="http://schemas.openxmlformats.org/spreadsheetml/2006/main" count="78" uniqueCount="75">
  <si>
    <t xml:space="preserve">BookFast Pty Ltd — Investor Financial Model</t>
  </si>
  <si>
    <t xml:space="preserve">Synthetic test file for the MamakScore AI engine. Not a real company.</t>
  </si>
  <si>
    <t xml:space="preserve">Revenue assumptions</t>
  </si>
  <si>
    <t xml:space="preserve">Assumption</t>
  </si>
  <si>
    <t xml:space="preserve">Value</t>
  </si>
  <si>
    <t xml:space="preserve">Comment</t>
  </si>
  <si>
    <t xml:space="preserve">Customers</t>
  </si>
  <si>
    <t xml:space="preserve">Paying salons at 1 Aug 2026</t>
  </si>
  <si>
    <t xml:space="preserve">ARPU (monthly)</t>
  </si>
  <si>
    <t xml:space="preserve">Average revenue per user</t>
  </si>
  <si>
    <t xml:space="preserve">Monthly growth</t>
  </si>
  <si>
    <t xml:space="preserve">Compounding</t>
  </si>
  <si>
    <t xml:space="preserve">Gross margin</t>
  </si>
  <si>
    <t xml:space="preserve">After variable delivery costs</t>
  </si>
  <si>
    <t xml:space="preserve">Monthly churn</t>
  </si>
  <si>
    <t xml:space="preserve">Implied by a thirty month life</t>
  </si>
  <si>
    <t xml:space="preserve">Operating expenses (monthly)</t>
  </si>
  <si>
    <t xml:space="preserve">Fixed cost base</t>
  </si>
  <si>
    <t xml:space="preserve">Cash on hand</t>
  </si>
  <si>
    <t xml:space="preserve">Bank balance</t>
  </si>
  <si>
    <t xml:space="preserve">Unit economics</t>
  </si>
  <si>
    <t xml:space="preserve">Metric</t>
  </si>
  <si>
    <t xml:space="preserve">Calculation</t>
  </si>
  <si>
    <t xml:space="preserve">Customer acquisition cost (CAC)</t>
  </si>
  <si>
    <t xml:space="preserve">Sales and marketing spend / new customers</t>
  </si>
  <si>
    <t xml:space="preserve">Average customer lifetime (months)</t>
  </si>
  <si>
    <t xml:space="preserve">1 / monthly churn</t>
  </si>
  <si>
    <t xml:space="preserve">Gross profit per customer (monthly)</t>
  </si>
  <si>
    <t xml:space="preserve">ARPU x gross margin</t>
  </si>
  <si>
    <t xml:space="preserve">Lifetime value (LTV)</t>
  </si>
  <si>
    <t xml:space="preserve">Monthly gross profit x lifetime</t>
  </si>
  <si>
    <t xml:space="preserve">LTV to CAC ratio</t>
  </si>
  <si>
    <t xml:space="preserve">LTV / CAC</t>
  </si>
  <si>
    <t xml:space="preserve">CAC payback (months)</t>
  </si>
  <si>
    <t xml:space="preserve">CAC / monthly gross profit per customer</t>
  </si>
  <si>
    <t xml:space="preserve">Customer acquisition</t>
  </si>
  <si>
    <t xml:space="preserve">Quarter</t>
  </si>
  <si>
    <t xml:space="preserve">New customers</t>
  </si>
  <si>
    <t xml:space="preserve">Spend</t>
  </si>
  <si>
    <t xml:space="preserve">Blended CAC</t>
  </si>
  <si>
    <t xml:space="preserve">Q1 FY27</t>
  </si>
  <si>
    <t xml:space="preserve">Q2 FY27</t>
  </si>
  <si>
    <t xml:space="preserve">Q3 FY27</t>
  </si>
  <si>
    <t xml:space="preserve">Q4 FY27</t>
  </si>
  <si>
    <t xml:space="preserve">Three statement projection</t>
  </si>
  <si>
    <t xml:space="preserve">Annual view. Year 1 is the twelve months from August 2026.</t>
  </si>
  <si>
    <t xml:space="preserve">Year 1</t>
  </si>
  <si>
    <t xml:space="preserve">Year 2</t>
  </si>
  <si>
    <t xml:space="preserve">Year 3</t>
  </si>
  <si>
    <t xml:space="preserve">Profit and loss</t>
  </si>
  <si>
    <t xml:space="preserve">Revenue</t>
  </si>
  <si>
    <t xml:space="preserve">Cost of goods sold</t>
  </si>
  <si>
    <t xml:space="preserve">Gross profit</t>
  </si>
  <si>
    <t xml:space="preserve">Operating expenses</t>
  </si>
  <si>
    <t xml:space="preserve">EBITDA</t>
  </si>
  <si>
    <t xml:space="preserve">Cash flow</t>
  </si>
  <si>
    <t xml:space="preserve">Opening cash</t>
  </si>
  <si>
    <t xml:space="preserve">Operating cash flow</t>
  </si>
  <si>
    <t xml:space="preserve">Capital raised</t>
  </si>
  <si>
    <t xml:space="preserve">Closing cash</t>
  </si>
  <si>
    <t xml:space="preserve">Balance sheet</t>
  </si>
  <si>
    <t xml:space="preserve">Cash</t>
  </si>
  <si>
    <t xml:space="preserve">Receivables</t>
  </si>
  <si>
    <t xml:space="preserve">Total assets</t>
  </si>
  <si>
    <t xml:space="preserve">Payables</t>
  </si>
  <si>
    <t xml:space="preserve">Equity</t>
  </si>
  <si>
    <t xml:space="preserve">Scenario analysis</t>
  </si>
  <si>
    <t xml:space="preserve">Downside</t>
  </si>
  <si>
    <t xml:space="preserve">Base</t>
  </si>
  <si>
    <t xml:space="preserve">Upside</t>
  </si>
  <si>
    <t xml:space="preserve">Monthly growth rate</t>
  </si>
  <si>
    <t xml:space="preserve">Year 1 revenue</t>
  </si>
  <si>
    <t xml:space="preserve">Year 1 EBITDA</t>
  </si>
  <si>
    <t xml:space="preserve">Year 1 closing cash</t>
  </si>
  <si>
    <t xml:space="preserve">All scenarios assume the $500k round closes in year one.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</si>
</sst>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%"/>
    <numFmt numFmtId="168" formatCode="\$#,##0.00;&quot;($&quot;#,##0.00\);\-"/>
    <numFmt numFmtId="169" formatCode="0.0\x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500</v>
      </c>
      <c r="C6" s="2" t="s">
        <v>7</v>
      </c>
    </row>
    <row r="7" customFormat="false" ht="15" hidden="false" customHeight="false" outlineLevel="0" collapsed="false">
      <c r="A7" s="5" t="s">
        <v>8</v>
      </c>
      <c r="B7" s="7" t="n">
        <v>40</v>
      </c>
      <c r="C7" s="2" t="s">
        <v>9</v>
      </c>
    </row>
    <row r="8" customFormat="false" ht="15" hidden="false" customHeight="false" outlineLevel="0" collapsed="false">
      <c r="A8" s="5" t="s">
        <v>10</v>
      </c>
      <c r="B8" s="8" t="n">
        <v>0.0800000000000001</v>
      </c>
      <c r="C8" s="2" t="s">
        <v>11</v>
      </c>
    </row>
    <row r="9" customFormat="false" ht="15" hidden="false" customHeight="false" outlineLevel="0" collapsed="false">
      <c r="A9" s="5" t="s">
        <v>12</v>
      </c>
      <c r="B9" s="8" t="n">
        <v>0.7</v>
      </c>
      <c r="C9" s="2" t="s">
        <v>13</v>
      </c>
    </row>
    <row r="10" customFormat="false" ht="15" hidden="false" customHeight="false" outlineLevel="0" collapsed="false">
      <c r="A10" s="5" t="s">
        <v>14</v>
      </c>
      <c r="B10" s="8" t="n">
        <v>0.033</v>
      </c>
      <c r="C10" s="2" t="s">
        <v>15</v>
      </c>
    </row>
    <row r="11" customFormat="false" ht="15" hidden="false" customHeight="false" outlineLevel="0" collapsed="false">
      <c r="A11" s="5" t="s">
        <v>16</v>
      </c>
      <c r="B11" s="7" t="n">
        <v>25000</v>
      </c>
      <c r="C11" s="2" t="s">
        <v>17</v>
      </c>
    </row>
    <row r="12" customFormat="false" ht="15" hidden="false" customHeight="false" outlineLevel="0" collapsed="false">
      <c r="A12" s="5" t="s">
        <v>18</v>
      </c>
      <c r="B12" s="7" t="n">
        <v>180000</v>
      </c>
      <c r="C12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4" t="s">
        <v>21</v>
      </c>
      <c r="B3" s="4" t="s">
        <v>4</v>
      </c>
      <c r="C3" s="4" t="s">
        <v>22</v>
      </c>
    </row>
    <row r="4" customFormat="false" ht="15" hidden="false" customHeight="false" outlineLevel="0" collapsed="false">
      <c r="A4" s="5" t="s">
        <v>23</v>
      </c>
      <c r="B4" s="7" t="n">
        <v>220</v>
      </c>
      <c r="C4" s="2" t="s">
        <v>24</v>
      </c>
    </row>
    <row r="5" customFormat="false" ht="15" hidden="false" customHeight="false" outlineLevel="0" collapsed="false">
      <c r="A5" s="5" t="s">
        <v>25</v>
      </c>
      <c r="B5" s="6" t="n">
        <v>30</v>
      </c>
      <c r="C5" s="2" t="s">
        <v>26</v>
      </c>
    </row>
    <row r="6" customFormat="false" ht="15" hidden="false" customHeight="false" outlineLevel="0" collapsed="false">
      <c r="A6" s="5" t="s">
        <v>27</v>
      </c>
      <c r="B6" s="9" t="n">
        <f aca="false">'Revenue Assumptions'!B7*'Revenue Assumptions'!B9</f>
        <v>28</v>
      </c>
      <c r="C6" s="2" t="s">
        <v>28</v>
      </c>
    </row>
    <row r="7" customFormat="false" ht="15" hidden="false" customHeight="false" outlineLevel="0" collapsed="false">
      <c r="A7" s="5" t="s">
        <v>29</v>
      </c>
      <c r="B7" s="10" t="n">
        <f aca="false">B6*B5</f>
        <v>840</v>
      </c>
      <c r="C7" s="2" t="s">
        <v>30</v>
      </c>
    </row>
    <row r="8" customFormat="false" ht="15" hidden="false" customHeight="false" outlineLevel="0" collapsed="false">
      <c r="A8" s="5" t="s">
        <v>31</v>
      </c>
      <c r="B8" s="11" t="n">
        <f aca="false">IFERROR(B7/B4,"n/a")</f>
        <v>3.81818181818182</v>
      </c>
      <c r="C8" s="2" t="s">
        <v>32</v>
      </c>
    </row>
    <row r="9" customFormat="false" ht="15" hidden="false" customHeight="false" outlineLevel="0" collapsed="false">
      <c r="A9" s="5" t="s">
        <v>33</v>
      </c>
      <c r="B9" s="12" t="n">
        <f aca="false">IFERROR(B4/B6,"n/a")</f>
        <v>7.85714285714286</v>
      </c>
      <c r="C9" s="2" t="s">
        <v>34</v>
      </c>
    </row>
    <row r="12" customFormat="false" ht="15" hidden="false" customHeight="false" outlineLevel="0" collapsed="false">
      <c r="A12" s="3" t="s">
        <v>35</v>
      </c>
    </row>
    <row r="13" customFormat="false" ht="15" hidden="false" customHeight="false" outlineLevel="0" collapsed="false">
      <c r="A13" s="4" t="s">
        <v>36</v>
      </c>
      <c r="B13" s="4" t="s">
        <v>37</v>
      </c>
      <c r="C13" s="4" t="s">
        <v>38</v>
      </c>
      <c r="D13" s="4" t="s">
        <v>39</v>
      </c>
    </row>
    <row r="14" customFormat="false" ht="15" hidden="false" customHeight="false" outlineLevel="0" collapsed="false">
      <c r="A14" s="5" t="s">
        <v>40</v>
      </c>
      <c r="B14" s="6" t="n">
        <v>130</v>
      </c>
      <c r="C14" s="7" t="n">
        <v>28600</v>
      </c>
      <c r="D14" s="10" t="n">
        <f aca="false">IFERROR(C14/B14,0)</f>
        <v>220</v>
      </c>
    </row>
    <row r="15" customFormat="false" ht="15" hidden="false" customHeight="false" outlineLevel="0" collapsed="false">
      <c r="A15" s="5" t="s">
        <v>41</v>
      </c>
      <c r="B15" s="6" t="n">
        <v>168</v>
      </c>
      <c r="C15" s="7" t="n">
        <v>36960</v>
      </c>
      <c r="D15" s="10" t="n">
        <f aca="false">IFERROR(C15/B15,0)</f>
        <v>220</v>
      </c>
    </row>
    <row r="16" customFormat="false" ht="15" hidden="false" customHeight="false" outlineLevel="0" collapsed="false">
      <c r="A16" s="5" t="s">
        <v>42</v>
      </c>
      <c r="B16" s="6" t="n">
        <v>218</v>
      </c>
      <c r="C16" s="7" t="n">
        <v>47960</v>
      </c>
      <c r="D16" s="10" t="n">
        <f aca="false">IFERROR(C16/B16,0)</f>
        <v>220</v>
      </c>
    </row>
    <row r="17" customFormat="false" ht="15" hidden="false" customHeight="false" outlineLevel="0" collapsed="false">
      <c r="A17" s="5" t="s">
        <v>43</v>
      </c>
      <c r="B17" s="6" t="n">
        <v>282</v>
      </c>
      <c r="C17" s="7" t="n">
        <v>62040</v>
      </c>
      <c r="D17" s="10" t="n">
        <f aca="false">IFERROR(C17/B17,0)</f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B4" s="4" t="s">
        <v>46</v>
      </c>
      <c r="C4" s="4" t="s">
        <v>47</v>
      </c>
      <c r="D4" s="4" t="s">
        <v>48</v>
      </c>
    </row>
    <row r="6" customFormat="false" ht="15" hidden="false" customHeight="false" outlineLevel="0" collapsed="false">
      <c r="A6" s="3" t="s">
        <v>49</v>
      </c>
    </row>
    <row r="7" customFormat="false" ht="15" hidden="false" customHeight="false" outlineLevel="0" collapsed="false">
      <c r="A7" s="5" t="s">
        <v>50</v>
      </c>
      <c r="B7" s="7" t="n">
        <v>377000</v>
      </c>
      <c r="C7" s="7" t="n">
        <v>782000</v>
      </c>
      <c r="D7" s="7" t="n">
        <v>1520000</v>
      </c>
    </row>
    <row r="8" customFormat="false" ht="15" hidden="false" customHeight="false" outlineLevel="0" collapsed="false">
      <c r="A8" s="5" t="s">
        <v>51</v>
      </c>
      <c r="B8" s="10" t="n">
        <f aca="false">B7*0.3</f>
        <v>113100</v>
      </c>
      <c r="C8" s="10" t="n">
        <f aca="false">C7*0.3</f>
        <v>234600</v>
      </c>
      <c r="D8" s="10" t="n">
        <f aca="false">D7*0.3</f>
        <v>456000</v>
      </c>
    </row>
    <row r="9" customFormat="false" ht="15" hidden="false" customHeight="false" outlineLevel="0" collapsed="false">
      <c r="A9" s="13" t="s">
        <v>52</v>
      </c>
      <c r="B9" s="10" t="n">
        <f aca="false">B7-B8</f>
        <v>263900</v>
      </c>
      <c r="C9" s="10" t="n">
        <f aca="false">C7-C8</f>
        <v>547400</v>
      </c>
      <c r="D9" s="10" t="n">
        <f aca="false">D7-D8</f>
        <v>1064000</v>
      </c>
    </row>
    <row r="10" customFormat="false" ht="15" hidden="false" customHeight="false" outlineLevel="0" collapsed="false">
      <c r="A10" s="5" t="s">
        <v>53</v>
      </c>
      <c r="B10" s="7" t="n">
        <v>355000</v>
      </c>
      <c r="C10" s="7" t="n">
        <v>610000</v>
      </c>
      <c r="D10" s="7" t="n">
        <v>980000</v>
      </c>
    </row>
    <row r="11" customFormat="false" ht="15" hidden="false" customHeight="false" outlineLevel="0" collapsed="false">
      <c r="A11" s="13" t="s">
        <v>54</v>
      </c>
      <c r="B11" s="10" t="n">
        <f aca="false">B9-B10</f>
        <v>-91100</v>
      </c>
      <c r="C11" s="10" t="n">
        <f aca="false">C9-C10</f>
        <v>-62600</v>
      </c>
      <c r="D11" s="10" t="n">
        <f aca="false">D9-D10</f>
        <v>84000</v>
      </c>
    </row>
    <row r="13" customFormat="false" ht="15" hidden="false" customHeight="false" outlineLevel="0" collapsed="false">
      <c r="A13" s="3" t="s">
        <v>55</v>
      </c>
    </row>
    <row r="14" customFormat="false" ht="15" hidden="false" customHeight="false" outlineLevel="0" collapsed="false">
      <c r="A14" s="5" t="s">
        <v>56</v>
      </c>
      <c r="B14" s="7" t="n">
        <v>180000</v>
      </c>
      <c r="C14" s="10" t="n">
        <f aca="false">B17</f>
        <v>588900</v>
      </c>
      <c r="D14" s="10" t="n">
        <f aca="false">C17</f>
        <v>526300</v>
      </c>
    </row>
    <row r="15" customFormat="false" ht="15" hidden="false" customHeight="false" outlineLevel="0" collapsed="false">
      <c r="A15" s="5" t="s">
        <v>57</v>
      </c>
      <c r="B15" s="10" t="n">
        <f aca="false">B11</f>
        <v>-91100</v>
      </c>
      <c r="C15" s="10" t="n">
        <f aca="false">C11</f>
        <v>-62600</v>
      </c>
      <c r="D15" s="10" t="n">
        <f aca="false">D11</f>
        <v>84000</v>
      </c>
    </row>
    <row r="16" customFormat="false" ht="15" hidden="false" customHeight="false" outlineLevel="0" collapsed="false">
      <c r="A16" s="5" t="s">
        <v>58</v>
      </c>
      <c r="B16" s="7" t="n">
        <v>500000</v>
      </c>
      <c r="C16" s="7" t="n">
        <v>0</v>
      </c>
      <c r="D16" s="7" t="n">
        <v>0</v>
      </c>
    </row>
    <row r="17" customFormat="false" ht="15" hidden="false" customHeight="false" outlineLevel="0" collapsed="false">
      <c r="A17" s="13" t="s">
        <v>59</v>
      </c>
      <c r="B17" s="10" t="n">
        <f aca="false">B14+B15+B16</f>
        <v>588900</v>
      </c>
      <c r="C17" s="10" t="n">
        <f aca="false">C14+C15+C16</f>
        <v>526300</v>
      </c>
      <c r="D17" s="10" t="n">
        <f aca="false">D14+D15+D16</f>
        <v>610300</v>
      </c>
    </row>
    <row r="19" customFormat="false" ht="15" hidden="false" customHeight="false" outlineLevel="0" collapsed="false">
      <c r="A19" s="3" t="s">
        <v>60</v>
      </c>
    </row>
    <row r="20" customFormat="false" ht="15" hidden="false" customHeight="false" outlineLevel="0" collapsed="false">
      <c r="A20" s="5" t="s">
        <v>61</v>
      </c>
      <c r="B20" s="10" t="n">
        <f aca="false">B17</f>
        <v>588900</v>
      </c>
      <c r="C20" s="10" t="n">
        <f aca="false">C17</f>
        <v>526300</v>
      </c>
      <c r="D20" s="10" t="n">
        <f aca="false">D17</f>
        <v>610300</v>
      </c>
    </row>
    <row r="21" customFormat="false" ht="15" hidden="false" customHeight="false" outlineLevel="0" collapsed="false">
      <c r="A21" s="5" t="s">
        <v>62</v>
      </c>
      <c r="B21" s="7" t="n">
        <v>31000</v>
      </c>
      <c r="C21" s="7" t="n">
        <v>65000</v>
      </c>
      <c r="D21" s="7" t="n">
        <v>127000</v>
      </c>
    </row>
    <row r="22" customFormat="false" ht="15" hidden="false" customHeight="false" outlineLevel="0" collapsed="false">
      <c r="A22" s="13" t="s">
        <v>63</v>
      </c>
      <c r="B22" s="10" t="n">
        <f aca="false">B20+B21</f>
        <v>619900</v>
      </c>
      <c r="C22" s="10" t="n">
        <f aca="false">C20+C21</f>
        <v>591300</v>
      </c>
      <c r="D22" s="10" t="n">
        <f aca="false">D20+D21</f>
        <v>737300</v>
      </c>
    </row>
    <row r="23" customFormat="false" ht="15" hidden="false" customHeight="false" outlineLevel="0" collapsed="false">
      <c r="A23" s="5" t="s">
        <v>64</v>
      </c>
      <c r="B23" s="7" t="n">
        <v>42000</v>
      </c>
      <c r="C23" s="7" t="n">
        <v>71000</v>
      </c>
      <c r="D23" s="7" t="n">
        <v>115000</v>
      </c>
    </row>
    <row r="24" customFormat="false" ht="15" hidden="false" customHeight="false" outlineLevel="0" collapsed="false">
      <c r="A24" s="13" t="s">
        <v>65</v>
      </c>
      <c r="B24" s="10" t="n">
        <f aca="false">B22-B23</f>
        <v>577900</v>
      </c>
      <c r="C24" s="10" t="n">
        <f aca="false">C22-C23</f>
        <v>520300</v>
      </c>
      <c r="D24" s="10" t="n">
        <f aca="false">D22-D23</f>
        <v>622300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B3" s="4" t="s">
        <v>67</v>
      </c>
      <c r="C3" s="4" t="s">
        <v>68</v>
      </c>
      <c r="D3" s="4" t="s">
        <v>69</v>
      </c>
    </row>
    <row r="4" customFormat="false" ht="15" hidden="false" customHeight="false" outlineLevel="0" collapsed="false">
      <c r="A4" s="5" t="s">
        <v>70</v>
      </c>
      <c r="B4" s="8" t="n">
        <v>0.03</v>
      </c>
      <c r="C4" s="8" t="n">
        <v>0.08</v>
      </c>
      <c r="D4" s="8" t="n">
        <v>0.14</v>
      </c>
    </row>
    <row r="5" customFormat="false" ht="15" hidden="false" customHeight="false" outlineLevel="0" collapsed="false">
      <c r="A5" s="5" t="s">
        <v>14</v>
      </c>
      <c r="B5" s="8" t="n">
        <v>0.05</v>
      </c>
      <c r="C5" s="8" t="n">
        <v>0.033</v>
      </c>
      <c r="D5" s="8" t="n">
        <v>0.02</v>
      </c>
    </row>
    <row r="6" customFormat="false" ht="15" hidden="false" customHeight="false" outlineLevel="0" collapsed="false">
      <c r="A6" s="5" t="s">
        <v>12</v>
      </c>
      <c r="B6" s="8" t="n">
        <v>0.62</v>
      </c>
      <c r="C6" s="8" t="n">
        <v>0.7</v>
      </c>
      <c r="D6" s="8" t="n">
        <v>0.76</v>
      </c>
    </row>
    <row r="7" customFormat="false" ht="15" hidden="false" customHeight="false" outlineLevel="0" collapsed="false">
      <c r="A7" s="5" t="s">
        <v>71</v>
      </c>
      <c r="B7" s="7" t="n">
        <v>268000</v>
      </c>
      <c r="C7" s="7" t="n">
        <v>377000</v>
      </c>
      <c r="D7" s="7" t="n">
        <v>542000</v>
      </c>
    </row>
    <row r="8" customFormat="false" ht="15" hidden="false" customHeight="false" outlineLevel="0" collapsed="false">
      <c r="A8" s="13" t="s">
        <v>72</v>
      </c>
      <c r="B8" s="7" t="n">
        <v>-210000</v>
      </c>
      <c r="C8" s="7" t="n">
        <v>-91100</v>
      </c>
      <c r="D8" s="7" t="n">
        <v>14000</v>
      </c>
    </row>
    <row r="9" customFormat="false" ht="15" hidden="false" customHeight="false" outlineLevel="0" collapsed="false">
      <c r="A9" s="5" t="s">
        <v>73</v>
      </c>
      <c r="B9" s="10" t="n">
        <f aca="false">180000+500000+B8</f>
        <v>470000</v>
      </c>
      <c r="C9" s="10" t="n">
        <f aca="false">180000+500000+C8</f>
        <v>588900</v>
      </c>
      <c r="D9" s="10" t="n">
        <f aca="false">180000+500000+D8</f>
        <v>694000</v>
      </c>
    </row>
    <row r="11" customFormat="false" ht="15" hidden="false" customHeight="false" outlineLevel="0" collapsed="false">
      <c r="A11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2026-08-25T02:23:18Z</dcterms:created>
  <dc:creator>openpyxl</dc:creator>
  <dc:description/>
  <dc:language>en-US</dc:language>
  <cp:lastModifiedBy/>
  <dcterms:modified xsi:type="dcterms:W3CDTF">2026-08-25T02:23:18Z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