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Proje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<sst xmlns="http://schemas.openxmlformats.org/spreadsheetml/2006/main" count="34" uniqueCount="34">
  <si>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BookFast — monthly projection</t>
  </si>
  <si>
    <t xml:space="preserve">Synthetic test file for the MamakScore AI engine. Not a real company.</t>
  </si>
  <si>
    <t xml:space="preserve">Revenue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</si>
  <si>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</si>
  <si>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</si>
  <si>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</si>
  <si>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</si>
  <si>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</si>
  <si>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</si>
  <si>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</si>
  <si>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</si>
  <si>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</si>
  <si>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</si>
  <si>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</si>
  <si>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</si>
  <si>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Customers</t>
  </si>
  <si>
    <t xml:space="preserve">Monthly fee per customer</t>
  </si>
  <si>
    <t xml:space="preserve">Monthly revenue</t>
  </si>
  <si>
    <t xml:space="preserve">Expenses</t>
  </si>
  <si>
    <t xml:space="preserve">Direct costs</t>
  </si>
  <si>
    <t xml:space="preserve">Wages</t>
  </si>
  <si>
    <t xml:space="preserve">Advertising</t>
  </si>
  <si>
    <t xml:space="preserve">Rent and other</t>
  </si>
  <si>
    <t xml:space="preserve">Monthly expenses</t>
  </si>
  <si>
    <t xml:space="preserve">Profit and loss</t>
  </si>
  <si>
    <t xml:space="preserve">Gross profit</t>
  </si>
  <si>
    <t xml:space="preserve">Net profit or loss</t>
  </si>
  <si>
    <t xml:space="preserve">Cash</t>
  </si>
  <si>
    <t xml:space="preserve">Opening balance</t>
  </si>
  <si>
    <t xml:space="preserve">Cash balance</t>
  </si>
  <si>
    <t xml:space="preserve">Other figures</t>
  </si>
  <si>
    <t xml:space="preserve">Gross margin</t>
  </si>
  <si>
    <t xml:space="preserve">Cost to win a customer</t>
  </si>
  <si>
    <t xml:space="preserve">Average months a customer stays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</si>
</sst>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\$#,##0;&quot;($&quot;#,##0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DF3F8"/>
      </patternFill>
    </fill>
    <fill>
      <patternFill patternType="solid">
        <fgColor rgb="FFEDF3F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F3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</row>
    <row r="6" customFormat="false" ht="15" hidden="false" customHeight="false" outlineLevel="0" collapsed="false">
      <c r="A6" s="6" t="s">
        <v>15</v>
      </c>
      <c r="B6" s="7" t="n">
        <v>500</v>
      </c>
      <c r="C6" s="7" t="n">
        <v>540</v>
      </c>
      <c r="D6" s="7" t="n">
        <v>583</v>
      </c>
      <c r="E6" s="7" t="n">
        <v>630</v>
      </c>
      <c r="F6" s="7" t="n">
        <v>680</v>
      </c>
      <c r="G6" s="7" t="n">
        <v>734</v>
      </c>
      <c r="H6" s="7" t="n">
        <v>793</v>
      </c>
      <c r="I6" s="7" t="n">
        <v>856</v>
      </c>
      <c r="J6" s="7" t="n">
        <v>924</v>
      </c>
      <c r="K6" s="7" t="n">
        <v>998</v>
      </c>
      <c r="L6" s="7" t="n">
        <v>1078</v>
      </c>
      <c r="M6" s="7" t="n">
        <v>1164</v>
      </c>
    </row>
    <row r="7" customFormat="false" ht="15" hidden="false" customHeight="false" outlineLevel="0" collapsed="false">
      <c r="A7" s="6" t="s">
        <v>16</v>
      </c>
      <c r="B7" s="8" t="n">
        <v>40</v>
      </c>
      <c r="C7" s="8" t="n">
        <v>40</v>
      </c>
      <c r="D7" s="8" t="n">
        <v>40</v>
      </c>
      <c r="E7" s="8" t="n">
        <v>40</v>
      </c>
      <c r="F7" s="8" t="n">
        <v>40</v>
      </c>
      <c r="G7" s="8" t="n">
        <v>40</v>
      </c>
      <c r="H7" s="8" t="n">
        <v>40</v>
      </c>
      <c r="I7" s="8" t="n">
        <v>40</v>
      </c>
      <c r="J7" s="8" t="n">
        <v>40</v>
      </c>
      <c r="K7" s="8" t="n">
        <v>40</v>
      </c>
      <c r="L7" s="8" t="n">
        <v>40</v>
      </c>
      <c r="M7" s="8" t="n">
        <v>40</v>
      </c>
    </row>
    <row r="8" customFormat="false" ht="15" hidden="false" customHeight="false" outlineLevel="0" collapsed="false">
      <c r="A8" s="9" t="s">
        <v>17</v>
      </c>
      <c r="B8" s="10" t="n">
        <f aca="false">B6*B7</f>
        <v>20000</v>
      </c>
      <c r="C8" s="10" t="n">
        <f aca="false">C6*C7</f>
        <v>21600</v>
      </c>
      <c r="D8" s="10" t="n">
        <f aca="false">D6*D7</f>
        <v>23320</v>
      </c>
      <c r="E8" s="10" t="n">
        <f aca="false">E6*E7</f>
        <v>25200</v>
      </c>
      <c r="F8" s="10" t="n">
        <f aca="false">F6*F7</f>
        <v>27200</v>
      </c>
      <c r="G8" s="10" t="n">
        <f aca="false">G6*G7</f>
        <v>29360</v>
      </c>
      <c r="H8" s="10" t="n">
        <f aca="false">H6*H7</f>
        <v>31720</v>
      </c>
      <c r="I8" s="10" t="n">
        <f aca="false">I6*I7</f>
        <v>34240</v>
      </c>
      <c r="J8" s="10" t="n">
        <f aca="false">J6*J7</f>
        <v>36960</v>
      </c>
      <c r="K8" s="10" t="n">
        <f aca="false">K6*K7</f>
        <v>39920</v>
      </c>
      <c r="L8" s="10" t="n">
        <f aca="false">L6*L7</f>
        <v>43120</v>
      </c>
      <c r="M8" s="10" t="n">
        <f aca="false">M6*M7</f>
        <v>46560</v>
      </c>
    </row>
    <row r="10" customFormat="false" ht="15" hidden="false" customHeight="false" outlineLevel="0" collapsed="false">
      <c r="A10" s="3" t="s">
        <v>18</v>
      </c>
    </row>
    <row r="11" customFormat="false" ht="15" hidden="false" customHeight="false" outlineLevel="0" collapsed="false">
      <c r="A11" s="6" t="s">
        <v>19</v>
      </c>
      <c r="B11" s="11" t="n">
        <f aca="false">B8*0.3</f>
        <v>6000</v>
      </c>
      <c r="C11" s="11" t="n">
        <f aca="false">C8*0.3</f>
        <v>6480</v>
      </c>
      <c r="D11" s="11" t="n">
        <f aca="false">D8*0.3</f>
        <v>6996</v>
      </c>
      <c r="E11" s="11" t="n">
        <f aca="false">E8*0.3</f>
        <v>7560</v>
      </c>
      <c r="F11" s="11" t="n">
        <f aca="false">F8*0.3</f>
        <v>8160</v>
      </c>
      <c r="G11" s="11" t="n">
        <f aca="false">G8*0.3</f>
        <v>8808</v>
      </c>
      <c r="H11" s="11" t="n">
        <f aca="false">H8*0.3</f>
        <v>9516</v>
      </c>
      <c r="I11" s="11" t="n">
        <f aca="false">I8*0.3</f>
        <v>10272</v>
      </c>
      <c r="J11" s="11" t="n">
        <f aca="false">J8*0.3</f>
        <v>11088</v>
      </c>
      <c r="K11" s="11" t="n">
        <f aca="false">K8*0.3</f>
        <v>11976</v>
      </c>
      <c r="L11" s="11" t="n">
        <f aca="false">L8*0.3</f>
        <v>12936</v>
      </c>
      <c r="M11" s="11" t="n">
        <f aca="false">M8*0.3</f>
        <v>13968</v>
      </c>
    </row>
    <row r="12" customFormat="false" ht="15" hidden="false" customHeight="false" outlineLevel="0" collapsed="false">
      <c r="A12" s="6" t="s">
        <v>20</v>
      </c>
      <c r="B12" s="8" t="n">
        <v>15500</v>
      </c>
      <c r="C12" s="8" t="n">
        <v>15965</v>
      </c>
      <c r="D12" s="8" t="n">
        <v>16444</v>
      </c>
      <c r="E12" s="8" t="n">
        <v>16937</v>
      </c>
      <c r="F12" s="8" t="n">
        <v>17446</v>
      </c>
      <c r="G12" s="8" t="n">
        <v>17969</v>
      </c>
      <c r="H12" s="8" t="n">
        <v>18508</v>
      </c>
      <c r="I12" s="8" t="n">
        <v>19063</v>
      </c>
      <c r="J12" s="8" t="n">
        <v>19635</v>
      </c>
      <c r="K12" s="8" t="n">
        <v>20224</v>
      </c>
      <c r="L12" s="8" t="n">
        <v>20831</v>
      </c>
      <c r="M12" s="8" t="n">
        <v>21456</v>
      </c>
    </row>
    <row r="13" customFormat="false" ht="15" hidden="false" customHeight="false" outlineLevel="0" collapsed="false">
      <c r="A13" s="6" t="s">
        <v>21</v>
      </c>
      <c r="B13" s="8" t="n">
        <v>5500</v>
      </c>
      <c r="C13" s="8" t="n">
        <v>5665</v>
      </c>
      <c r="D13" s="8" t="n">
        <v>5835</v>
      </c>
      <c r="E13" s="8" t="n">
        <v>6010</v>
      </c>
      <c r="F13" s="8" t="n">
        <v>6190</v>
      </c>
      <c r="G13" s="8" t="n">
        <v>6376</v>
      </c>
      <c r="H13" s="8" t="n">
        <v>6567</v>
      </c>
      <c r="I13" s="8" t="n">
        <v>6764</v>
      </c>
      <c r="J13" s="8" t="n">
        <v>6967</v>
      </c>
      <c r="K13" s="8" t="n">
        <v>7176</v>
      </c>
      <c r="L13" s="8" t="n">
        <v>7392</v>
      </c>
      <c r="M13" s="8" t="n">
        <v>7613</v>
      </c>
    </row>
    <row r="14" customFormat="false" ht="15" hidden="false" customHeight="false" outlineLevel="0" collapsed="false">
      <c r="A14" s="6" t="s">
        <v>22</v>
      </c>
      <c r="B14" s="8" t="n">
        <v>4000</v>
      </c>
      <c r="C14" s="8" t="n">
        <v>4120</v>
      </c>
      <c r="D14" s="8" t="n">
        <v>4243</v>
      </c>
      <c r="E14" s="8" t="n">
        <v>4371</v>
      </c>
      <c r="F14" s="8" t="n">
        <v>4502</v>
      </c>
      <c r="G14" s="8" t="n">
        <v>4637</v>
      </c>
      <c r="H14" s="8" t="n">
        <v>4776</v>
      </c>
      <c r="I14" s="8" t="n">
        <v>4920</v>
      </c>
      <c r="J14" s="8" t="n">
        <v>5067</v>
      </c>
      <c r="K14" s="8" t="n">
        <v>5219</v>
      </c>
      <c r="L14" s="8" t="n">
        <v>5375</v>
      </c>
      <c r="M14" s="8" t="n">
        <v>5537</v>
      </c>
    </row>
    <row r="15" customFormat="false" ht="15" hidden="false" customHeight="false" outlineLevel="0" collapsed="false">
      <c r="A15" s="9" t="s">
        <v>23</v>
      </c>
      <c r="B15" s="10" t="n">
        <f aca="false">SUM(B12:B14)</f>
        <v>25000</v>
      </c>
      <c r="C15" s="10" t="n">
        <f aca="false">SUM(C12:C14)</f>
        <v>25750</v>
      </c>
      <c r="D15" s="10" t="n">
        <f aca="false">SUM(D12:D14)</f>
        <v>26522</v>
      </c>
      <c r="E15" s="10" t="n">
        <f aca="false">SUM(E12:E14)</f>
        <v>27318</v>
      </c>
      <c r="F15" s="10" t="n">
        <f aca="false">SUM(F12:F14)</f>
        <v>28138</v>
      </c>
      <c r="G15" s="10" t="n">
        <f aca="false">SUM(G12:G14)</f>
        <v>28982</v>
      </c>
      <c r="H15" s="10" t="n">
        <f aca="false">SUM(H12:H14)</f>
        <v>29851</v>
      </c>
      <c r="I15" s="10" t="n">
        <f aca="false">SUM(I12:I14)</f>
        <v>30747</v>
      </c>
      <c r="J15" s="10" t="n">
        <f aca="false">SUM(J12:J14)</f>
        <v>31669</v>
      </c>
      <c r="K15" s="10" t="n">
        <f aca="false">SUM(K12:K14)</f>
        <v>32619</v>
      </c>
      <c r="L15" s="10" t="n">
        <f aca="false">SUM(L12:L14)</f>
        <v>33598</v>
      </c>
      <c r="M15" s="10" t="n">
        <f aca="false">SUM(M12:M14)</f>
        <v>34606</v>
      </c>
    </row>
    <row r="17" customFormat="false" ht="15" hidden="false" customHeight="false" outlineLevel="0" collapsed="false">
      <c r="A17" s="3" t="s">
        <v>24</v>
      </c>
    </row>
    <row r="18" customFormat="false" ht="15" hidden="false" customHeight="false" outlineLevel="0" collapsed="false">
      <c r="A18" s="6" t="s">
        <v>25</v>
      </c>
      <c r="B18" s="11" t="n">
        <f aca="false">B8-B11</f>
        <v>14000</v>
      </c>
      <c r="C18" s="11" t="n">
        <f aca="false">C8-C11</f>
        <v>15120</v>
      </c>
      <c r="D18" s="11" t="n">
        <f aca="false">D8-D11</f>
        <v>16324</v>
      </c>
      <c r="E18" s="11" t="n">
        <f aca="false">E8-E11</f>
        <v>17640</v>
      </c>
      <c r="F18" s="11" t="n">
        <f aca="false">F8-F11</f>
        <v>19040</v>
      </c>
      <c r="G18" s="11" t="n">
        <f aca="false">G8-G11</f>
        <v>20552</v>
      </c>
      <c r="H18" s="11" t="n">
        <f aca="false">H8-H11</f>
        <v>22204</v>
      </c>
      <c r="I18" s="11" t="n">
        <f aca="false">I8-I11</f>
        <v>23968</v>
      </c>
      <c r="J18" s="11" t="n">
        <f aca="false">J8-J11</f>
        <v>25872</v>
      </c>
      <c r="K18" s="11" t="n">
        <f aca="false">K8-K11</f>
        <v>27944</v>
      </c>
      <c r="L18" s="11" t="n">
        <f aca="false">L8-L11</f>
        <v>30184</v>
      </c>
      <c r="M18" s="11" t="n">
        <f aca="false">M8-M11</f>
        <v>32592</v>
      </c>
    </row>
    <row r="19" customFormat="false" ht="15" hidden="false" customHeight="false" outlineLevel="0" collapsed="false">
      <c r="A19" s="9" t="s">
        <v>26</v>
      </c>
      <c r="B19" s="10" t="n">
        <f aca="false">B18-B15</f>
        <v>-11000</v>
      </c>
      <c r="C19" s="10" t="n">
        <f aca="false">C18-C15</f>
        <v>-10630</v>
      </c>
      <c r="D19" s="10" t="n">
        <f aca="false">D18-D15</f>
        <v>-10198</v>
      </c>
      <c r="E19" s="10" t="n">
        <f aca="false">E18-E15</f>
        <v>-9678</v>
      </c>
      <c r="F19" s="10" t="n">
        <f aca="false">F18-F15</f>
        <v>-9098</v>
      </c>
      <c r="G19" s="10" t="n">
        <f aca="false">G18-G15</f>
        <v>-8430</v>
      </c>
      <c r="H19" s="10" t="n">
        <f aca="false">H18-H15</f>
        <v>-7647</v>
      </c>
      <c r="I19" s="10" t="n">
        <f aca="false">I18-I15</f>
        <v>-6779</v>
      </c>
      <c r="J19" s="10" t="n">
        <f aca="false">J18-J15</f>
        <v>-5797</v>
      </c>
      <c r="K19" s="10" t="n">
        <f aca="false">K18-K15</f>
        <v>-4675</v>
      </c>
      <c r="L19" s="10" t="n">
        <f aca="false">L18-L15</f>
        <v>-3414</v>
      </c>
      <c r="M19" s="10" t="n">
        <f aca="false">M18-M15</f>
        <v>-2014</v>
      </c>
    </row>
    <row r="21" customFormat="false" ht="15" hidden="false" customHeight="false" outlineLevel="0" collapsed="false">
      <c r="A21" s="3" t="s">
        <v>27</v>
      </c>
    </row>
    <row r="22" customFormat="false" ht="15" hidden="false" customHeight="false" outlineLevel="0" collapsed="false">
      <c r="A22" s="6" t="s">
        <v>28</v>
      </c>
      <c r="B22" s="8" t="n">
        <v>180000</v>
      </c>
      <c r="C22" s="8" t="n">
        <f aca="false">B23</f>
        <v>169000</v>
      </c>
      <c r="D22" s="8" t="n">
        <f aca="false">C23</f>
        <v>158370</v>
      </c>
      <c r="E22" s="8" t="n">
        <f aca="false">D23</f>
        <v>148172</v>
      </c>
      <c r="F22" s="8" t="n">
        <f aca="false">E23</f>
        <v>138494</v>
      </c>
      <c r="G22" s="8" t="n">
        <f aca="false">F23</f>
        <v>129396</v>
      </c>
      <c r="H22" s="8" t="n">
        <f aca="false">G23</f>
        <v>120966</v>
      </c>
      <c r="I22" s="8" t="n">
        <f aca="false">H23</f>
        <v>113319</v>
      </c>
      <c r="J22" s="8" t="n">
        <f aca="false">I23</f>
        <v>106540</v>
      </c>
      <c r="K22" s="8" t="n">
        <f aca="false">J23</f>
        <v>100743</v>
      </c>
      <c r="L22" s="8" t="n">
        <f aca="false">K23</f>
        <v>96068</v>
      </c>
      <c r="M22" s="8" t="n">
        <f aca="false">L23</f>
        <v>92654</v>
      </c>
    </row>
    <row r="23" customFormat="false" ht="15" hidden="false" customHeight="false" outlineLevel="0" collapsed="false">
      <c r="A23" s="9" t="s">
        <v>29</v>
      </c>
      <c r="B23" s="10" t="n">
        <f aca="false">B22+B19</f>
        <v>169000</v>
      </c>
      <c r="C23" s="10" t="n">
        <f aca="false">C22+C19</f>
        <v>158370</v>
      </c>
      <c r="D23" s="10" t="n">
        <f aca="false">D22+D19</f>
        <v>148172</v>
      </c>
      <c r="E23" s="10" t="n">
        <f aca="false">E22+E19</f>
        <v>138494</v>
      </c>
      <c r="F23" s="10" t="n">
        <f aca="false">F22+F19</f>
        <v>129396</v>
      </c>
      <c r="G23" s="10" t="n">
        <f aca="false">G22+G19</f>
        <v>120966</v>
      </c>
      <c r="H23" s="10" t="n">
        <f aca="false">H22+H19</f>
        <v>113319</v>
      </c>
      <c r="I23" s="10" t="n">
        <f aca="false">I22+I19</f>
        <v>106540</v>
      </c>
      <c r="J23" s="10" t="n">
        <f aca="false">J22+J19</f>
        <v>100743</v>
      </c>
      <c r="K23" s="10" t="n">
        <f aca="false">K22+K19</f>
        <v>96068</v>
      </c>
      <c r="L23" s="10" t="n">
        <f aca="false">L22+L19</f>
        <v>92654</v>
      </c>
      <c r="M23" s="10" t="n">
        <f aca="false">M22+M19</f>
        <v>90640</v>
      </c>
    </row>
    <row r="25" customFormat="false" ht="15" hidden="false" customHeight="false" outlineLevel="0" collapsed="false">
      <c r="A25" s="3" t="s">
        <v>30</v>
      </c>
    </row>
    <row r="26" customFormat="false" ht="15" hidden="false" customHeight="false" outlineLevel="0" collapsed="false">
      <c r="A26" s="6" t="s">
        <v>31</v>
      </c>
      <c r="B26" s="12" t="n">
        <v>0.7</v>
      </c>
    </row>
    <row r="27" customFormat="false" ht="15" hidden="false" customHeight="false" outlineLevel="0" collapsed="false">
      <c r="A27" s="6" t="s">
        <v>32</v>
      </c>
      <c r="B27" s="8" t="n">
        <v>220</v>
      </c>
    </row>
    <row r="28" customFormat="false" ht="15" hidden="false" customHeight="false" outlineLevel="0" collapsed="false">
      <c r="A28" s="6" t="s">
        <v>33</v>
      </c>
      <c r="B28" s="7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2026-08-25T02:23:18Z</dcterms:created>
  <dc:creator>openpyxl</dc:creator>
  <dc:description/>
  <dc:language>en-US</dc:language>
  <cp:lastModifiedBy/>
  <dcterms:modified xsi:type="dcterms:W3CDTF">2026-08-25T02:23:18Z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